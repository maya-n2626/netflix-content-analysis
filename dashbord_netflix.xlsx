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enys\OneDrive\שולחן העבודה\netflix\"/>
    </mc:Choice>
  </mc:AlternateContent>
  <xr:revisionPtr revIDLastSave="0" documentId="13_ncr:2001_{BB1DBB86-3480-4401-9530-2E359186DB1C}" xr6:coauthVersionLast="47" xr6:coauthVersionMax="47" xr10:uidLastSave="{00000000-0000-0000-0000-000000000000}"/>
  <bookViews>
    <workbookView xWindow="-110" yWindow="-110" windowWidth="19420" windowHeight="10300" xr2:uid="{49842E1C-FEE4-41CD-852E-0069AD035A20}"/>
  </bookViews>
  <sheets>
    <sheet name="Dashboard" sheetId="22" r:id="rId1"/>
    <sheet name="view_total_titles" sheetId="37" state="hidden" r:id="rId2"/>
    <sheet name="rating" sheetId="25" state="hidden" r:id="rId3"/>
    <sheet name="most_country" sheetId="27" state="hidden" r:id="rId4"/>
    <sheet name="added year" sheetId="31" state="hidden" r:id="rId5"/>
    <sheet name="movies vs tvs" sheetId="33" state="hidden" r:id="rId6"/>
    <sheet name="geners" sheetId="35" state="hidden" r:id="rId7"/>
  </sheets>
  <definedNames>
    <definedName name="ExternalData_1" localSheetId="1" hidden="1">view_total_titles!$A$1:$A$2</definedName>
    <definedName name="Slicer_type">#N/A</definedName>
    <definedName name="Slicer_year_added">#N/A</definedName>
  </definedNames>
  <calcPr calcId="191029"/>
  <pivotCaches>
    <pivotCache cacheId="0" r:id="rId8"/>
    <pivotCache cacheId="1" r:id="rId9"/>
    <pivotCache cacheId="2" r:id="rId10"/>
    <pivotCache cacheId="3" r:id="rId11"/>
    <pivotCache cacheId="4" r:id="rId12"/>
  </pivotCaches>
  <fileRecoveryPr repairLoad="1"/>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dded_year_765b4839-9dc2-4e5c-8d88-c9307d622fe5" name="added_year" connection="Query - added_year"/>
          <x15:modelTable id="avg_duration_aeb837c5-3a42-4995-b440-b94574277d03" name="avg_duration" connection="Query - avg_duration"/>
          <x15:modelTable id="best_10_directors_c14ef236-3f56-4fc3-897c-20c44a9cfdca" name="best_10_directors" connection="Query - best_10_directors"/>
          <x15:modelTable id="most_country_9b859eab-da75-4bc2-8795-2d7e0b815cf3" name="most_country" connection="Query - most_country"/>
          <x15:modelTable id="most_listed_n_ef515680-ef33-41d5-a1f5-06f7b1f54cca" name="most_listed_n" connection="Query - most_listed_n"/>
          <x15:modelTable id="most_seasons_4859547c-88a7-4195-8533-c49017cfbec7" name="most_seasons" connection="Query - most_seasons"/>
          <x15:modelTable id="ratings_9d7a27ae-7d18-4481-98bc-1f3c87a66d5b" name="ratings" connection="Query - ratings"/>
          <x15:modelTable id="view_movies_vs_shows_9f0f475b-a152-4163-acd1-c73ad74b7681" name="view_movies_vs_shows" connection="Query - view_movies_vs_show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31" l="1"/>
  <c r="I4" i="27"/>
  <c r="J3" i="33"/>
  <c r="H5" i="33"/>
  <c r="H4" i="33"/>
  <c r="Z1" i="22"/>
  <c r="X2" i="22"/>
  <c r="X10" i="22"/>
  <c r="X8"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F942EB-DC33-4AA7-A8DF-45DFEFBF933B}" name="Query - added_year" description="Connection to the 'added_year' query in the workbook." type="100" refreshedVersion="8" minRefreshableVersion="5">
    <extLst>
      <ext xmlns:x15="http://schemas.microsoft.com/office/spreadsheetml/2010/11/main" uri="{DE250136-89BD-433C-8126-D09CA5730AF9}">
        <x15:connection id="89522425-72e2-4261-bd73-57b331365e94"/>
      </ext>
    </extLst>
  </connection>
  <connection id="2" xr16:uid="{F515C2A3-DAFF-4BE4-BEC9-EFE6C7F75DBA}" keepAlive="1" name="Query - added_year (2)" description="Connection to the 'added_year (2)' query in the workbook." type="5" refreshedVersion="8" background="1" saveData="1">
    <dbPr connection="Provider=Microsoft.Mashup.OleDb.1;Data Source=$Workbook$;Location=&quot;added_year (2)&quot;;Extended Properties=&quot;&quot;" command="SELECT * FROM [added_year (2)]"/>
  </connection>
  <connection id="3" xr16:uid="{DC4A7BD9-8543-47CF-9E66-FF1234F60B4E}" keepAlive="1" name="Query - added_year (3)" description="Connection to the 'added_year (3)' query in the workbook." type="5" refreshedVersion="8" background="1" saveData="1">
    <dbPr connection="Provider=Microsoft.Mashup.OleDb.1;Data Source=$Workbook$;Location=&quot;added_year (3)&quot;;Extended Properties=&quot;&quot;" command="SELECT * FROM [added_year (3)]"/>
  </connection>
  <connection id="4" xr16:uid="{ACDF6DAC-56BF-44D1-A438-CD23C5A6A933}" name="Query - avg_duration" description="Connection to the 'avg_duration' query in the workbook." type="100" refreshedVersion="8" minRefreshableVersion="5">
    <extLst>
      <ext xmlns:x15="http://schemas.microsoft.com/office/spreadsheetml/2010/11/main" uri="{DE250136-89BD-433C-8126-D09CA5730AF9}">
        <x15:connection id="bec74e7d-1a51-4b5e-8b76-0da0f4a9d15b"/>
      </ext>
    </extLst>
  </connection>
  <connection id="5" xr16:uid="{A2B2205B-F1C9-4684-A417-DDEA7C278CF1}" name="Query - best_10_directors" description="Connection to the 'best_10_directors' query in the workbook." type="100" refreshedVersion="8" minRefreshableVersion="5">
    <extLst>
      <ext xmlns:x15="http://schemas.microsoft.com/office/spreadsheetml/2010/11/main" uri="{DE250136-89BD-433C-8126-D09CA5730AF9}">
        <x15:connection id="277d2dda-8f29-44d1-8bfc-199632b4c5c7"/>
      </ext>
    </extLst>
  </connection>
  <connection id="6" xr16:uid="{7270EC2D-4076-4A45-B7EB-F5CA02AFC449}" name="Query - most_country" description="Connection to the 'most_country' query in the workbook." type="100" refreshedVersion="8" minRefreshableVersion="5">
    <extLst>
      <ext xmlns:x15="http://schemas.microsoft.com/office/spreadsheetml/2010/11/main" uri="{DE250136-89BD-433C-8126-D09CA5730AF9}">
        <x15:connection id="c6a114b8-f660-4fa4-a7a8-a2d71451b753"/>
      </ext>
    </extLst>
  </connection>
  <connection id="7" xr16:uid="{11EF9E6B-5AD0-4D02-82CA-007CB5A687AA}" keepAlive="1" name="Query - most_country (2)" description="Connection to the 'most_country (2)' query in the workbook." type="5" refreshedVersion="8" background="1" saveData="1">
    <dbPr connection="Provider=Microsoft.Mashup.OleDb.1;Data Source=$Workbook$;Location=&quot;most_country (2)&quot;;Extended Properties=&quot;&quot;" command="SELECT * FROM [most_country (2)]"/>
  </connection>
  <connection id="8" xr16:uid="{874DAC23-179A-4E28-9C8F-592DCCB6A44C}" name="Query - most_listed_n" description="Connection to the 'most_listed_n' query in the workbook." type="100" refreshedVersion="8" minRefreshableVersion="5">
    <extLst>
      <ext xmlns:x15="http://schemas.microsoft.com/office/spreadsheetml/2010/11/main" uri="{DE250136-89BD-433C-8126-D09CA5730AF9}">
        <x15:connection id="b898de78-5904-4fb8-b5a3-799547c3b555"/>
      </ext>
    </extLst>
  </connection>
  <connection id="9" xr16:uid="{1E79B1D5-072A-4A3F-9C12-CDE261240CDD}" keepAlive="1" name="Query - most_listed_n (2)" description="Connection to the 'most_listed_n (2)' query in the workbook." type="5" refreshedVersion="8" background="1" saveData="1">
    <dbPr connection="Provider=Microsoft.Mashup.OleDb.1;Data Source=$Workbook$;Location=&quot;most_listed_n (2)&quot;;Extended Properties=&quot;&quot;" command="SELECT * FROM [most_listed_n (2)]"/>
  </connection>
  <connection id="10" xr16:uid="{E1425B54-52A1-4B71-8252-0BB83CD43062}" name="Query - most_seasons" description="Connection to the 'most_seasons' query in the workbook." type="100" refreshedVersion="8" minRefreshableVersion="5">
    <extLst>
      <ext xmlns:x15="http://schemas.microsoft.com/office/spreadsheetml/2010/11/main" uri="{DE250136-89BD-433C-8126-D09CA5730AF9}">
        <x15:connection id="cc0fc3fb-f566-4fee-93fd-f8d046e21b46"/>
      </ext>
    </extLst>
  </connection>
  <connection id="11" xr16:uid="{5D1E8F26-0EE0-407F-ABD4-10E378D8C73A}" name="Query - ratings" description="Connection to the 'ratings' query in the workbook." type="100" refreshedVersion="8" minRefreshableVersion="5">
    <extLst>
      <ext xmlns:x15="http://schemas.microsoft.com/office/spreadsheetml/2010/11/main" uri="{DE250136-89BD-433C-8126-D09CA5730AF9}">
        <x15:connection id="be5ce9e0-ab27-4fcb-94d7-72952ac9828c"/>
      </ext>
    </extLst>
  </connection>
  <connection id="12" xr16:uid="{9B31C4A5-683D-40D1-9C92-FF20F80B7684}" keepAlive="1" name="Query - ratings (2)" description="Connection to the 'ratings (2)' query in the workbook." type="5" refreshedVersion="8" background="1" saveData="1">
    <dbPr connection="Provider=Microsoft.Mashup.OleDb.1;Data Source=$Workbook$;Location=&quot;ratings (2)&quot;;Extended Properties=&quot;&quot;" command="SELECT * FROM [ratings (2)]"/>
  </connection>
  <connection id="13" xr16:uid="{3DFAB31F-B846-4BB6-98A6-F8DF0C21330B}" name="Query - view_movies_vs_shows" description="Connection to the 'view_movies_vs_shows' query in the workbook." type="100" refreshedVersion="8" minRefreshableVersion="5">
    <extLst>
      <ext xmlns:x15="http://schemas.microsoft.com/office/spreadsheetml/2010/11/main" uri="{DE250136-89BD-433C-8126-D09CA5730AF9}">
        <x15:connection id="6347731c-7a02-4af5-8561-0ffcff311ad8"/>
      </ext>
    </extLst>
  </connection>
  <connection id="14" xr16:uid="{DD35F29E-328B-492B-B4CE-9D503A53844D}" keepAlive="1" name="Query - view_movies_vs_shows (2)" description="Connection to the 'view_movies_vs_shows (2)' query in the workbook." type="5" refreshedVersion="8" background="1" saveData="1">
    <dbPr connection="Provider=Microsoft.Mashup.OleDb.1;Data Source=$Workbook$;Location=&quot;view_movies_vs_shows (2)&quot;;Extended Properties=&quot;&quot;" command="SELECT * FROM [view_movies_vs_shows (2)]"/>
  </connection>
  <connection id="15" xr16:uid="{1770A13E-FFC9-4735-BC41-C5F1C23F9F25}" keepAlive="1" name="Query - view_total_titles" description="Connection to the 'view_total_titles' query in the workbook." type="5" refreshedVersion="8" background="1" saveData="1">
    <dbPr connection="Provider=Microsoft.Mashup.OleDb.1;Data Source=$Workbook$;Location=view_total_titles;Extended Properties=&quot;&quot;" command="SELECT * FROM [view_total_titles]"/>
  </connection>
  <connection id="16" xr16:uid="{02F8347B-0AC9-43D0-853A-C1BEFC18215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<sst xmlns="http://schemas.openxmlformats.org/spreadsheetml/2006/main" count="56" uniqueCount="42">
  <si>
    <t>United States</t>
  </si>
  <si>
    <t>India</t>
  </si>
  <si>
    <t>United Kingdom</t>
  </si>
  <si>
    <t>Japan</t>
  </si>
  <si>
    <t>South Korea</t>
  </si>
  <si>
    <t>Canada</t>
  </si>
  <si>
    <t>Spain</t>
  </si>
  <si>
    <t>France</t>
  </si>
  <si>
    <t>Mexico</t>
  </si>
  <si>
    <t>Egypt</t>
  </si>
  <si>
    <t>Dramas, International Movies</t>
  </si>
  <si>
    <t>Documentaries</t>
  </si>
  <si>
    <t>Stand-Up Comedy</t>
  </si>
  <si>
    <t>Comedies, Dramas, International Movies</t>
  </si>
  <si>
    <t>Dramas, Independent Movies, International Movies</t>
  </si>
  <si>
    <t>Kids' TV</t>
  </si>
  <si>
    <t>Children &amp; Family Movies</t>
  </si>
  <si>
    <t>Children &amp; Family Movies, Comedies</t>
  </si>
  <si>
    <t>Documentaries, International Movies</t>
  </si>
  <si>
    <t>Dramas, International Movies, Romantic Movies</t>
  </si>
  <si>
    <t>TV-MA</t>
  </si>
  <si>
    <t>TV-14</t>
  </si>
  <si>
    <t>TV-PG</t>
  </si>
  <si>
    <t>R</t>
  </si>
  <si>
    <t>PG-13</t>
  </si>
  <si>
    <t>TV-Y7</t>
  </si>
  <si>
    <t>TV-Y</t>
  </si>
  <si>
    <t>PG</t>
  </si>
  <si>
    <t>TV-G</t>
  </si>
  <si>
    <t>NR</t>
  </si>
  <si>
    <t>G</t>
  </si>
  <si>
    <t>TV-Y7-FV</t>
  </si>
  <si>
    <t>NC-17</t>
  </si>
  <si>
    <t>UR</t>
  </si>
  <si>
    <t>Movie</t>
  </si>
  <si>
    <t>TV Show</t>
  </si>
  <si>
    <t>Sum of count</t>
  </si>
  <si>
    <t>Row Labels</t>
  </si>
  <si>
    <t>Grand Total</t>
  </si>
  <si>
    <t>Column Labels</t>
  </si>
  <si>
    <t>Sum of COUNT(*)</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</si>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</sst>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sz val="11"/>
      <color rgb="FFFFFFFF"/>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2" fillId="0" borderId="0" xfId="0" applyFont="1" applyAlignment="1">
      <alignment horizontal="left" vertical="center"/>
    </xf>
    <xf numFmtId="9" fontId="0" fillId="0" borderId="0" xfId="1" applyFont="1"/>
    <xf numFmtId="10" fontId="0" fillId="0" borderId="0" xfId="1" applyNumberFormat="1" applyFont="1"/>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[dashbord_netflix (version 2).xlsx]rating!PivotTable1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a:t> </a:t>
            </a:r>
            <a:r>
              <a:rPr lang="en-US" sz="1600" b="1" i="0" u="none" strike="noStrike" baseline="0">
                <a:effectLst>
                  <a:outerShdw blurRad="50800" dist="38100" dir="5400000" algn="t" rotWithShape="0">
                    <a:prstClr val="black">
                      <a:alpha val="40000"/>
                    </a:prstClr>
                  </a:outerShdw>
                </a:effectLst>
              </a:rPr>
              <a:t>Rating Breakdown (by Category)</a:t>
            </a:r>
            <a:endParaRPr lang="en-US" sz="16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L"/>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33872434487126"/>
          <c:y val="0.36705332993530038"/>
          <c:w val="0.82130168820175364"/>
          <c:h val="0.36803515839589818"/>
        </c:manualLayout>
      </c:layout>
      <c:barChart>
        <c:barDir val="col"/>
        <c:grouping val="clustered"/>
        <c:varyColors val="0"/>
        <c:ser>
          <c:idx val="0"/>
          <c:order val="0"/>
          <c:tx>
            <c:strRef>
              <c:f>rating!$B$3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rating!$A$4:$A$18</c:f>
              <c:strCache>
                <c:ptCount val="14"/>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strCache>
            </c:strRef>
          </c:cat>
          <c:val>
            <c:numRef>
              <c:f>rating!$B$4:$B$18</c:f>
              <c:numCache>
                <c:formatCode>General</c:formatCode>
                <c:ptCount val="14"/>
                <c:pt idx="0">
                  <c:v>41</c:v>
                </c:pt>
                <c:pt idx="1">
                  <c:v>3</c:v>
                </c:pt>
                <c:pt idx="2">
                  <c:v>80</c:v>
                </c:pt>
                <c:pt idx="3">
                  <c:v>287</c:v>
                </c:pt>
                <c:pt idx="4">
                  <c:v>490</c:v>
                </c:pt>
                <c:pt idx="5">
                  <c:v>799</c:v>
                </c:pt>
                <c:pt idx="6">
                  <c:v>2160</c:v>
                </c:pt>
                <c:pt idx="7">
                  <c:v>220</c:v>
                </c:pt>
                <c:pt idx="8">
                  <c:v>3207</c:v>
                </c:pt>
                <c:pt idx="9">
                  <c:v>863</c:v>
                </c:pt>
                <c:pt idx="10">
                  <c:v>307</c:v>
                </c:pt>
                <c:pt idx="11">
                  <c:v>334</c:v>
                </c:pt>
                <c:pt idx="12">
                  <c:v>6</c:v>
                </c:pt>
                <c:pt idx="13">
                  <c:v>3</c:v>
                </c:pt>
              </c:numCache>
            </c:numRef>
          </c:val>
          <c:extLst>
            <c:ext xmlns:c16="http://schemas.microsoft.com/office/drawing/2014/chart" uri="{C3380CC4-5D6E-409C-BE32-E72D297353CC}">
              <c16:uniqueId val="{00000000-B5D5-4704-A114-C09C91CFAC21}"/>
            </c:ext>
          </c:extLst>
        </c:ser>
        <c:dLbls>
          <c:dLblPos val="outEnd"/>
          <c:showLegendKey val="0"/>
          <c:showVal val="1"/>
          <c:showCatName val="0"/>
          <c:showSerName val="0"/>
          <c:showPercent val="0"/>
          <c:showBubbleSize val="0"/>
        </c:dLbls>
        <c:gapWidth val="100"/>
        <c:overlap val="-24"/>
        <c:axId val="1317530000"/>
        <c:axId val="1317524720"/>
      </c:barChart>
      <c:catAx>
        <c:axId val="1317530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crossAx val="1317524720"/>
        <c:crosses val="autoZero"/>
        <c:auto val="1"/>
        <c:lblAlgn val="ctr"/>
        <c:lblOffset val="100"/>
        <c:noMultiLvlLbl val="0"/>
      </c:catAx>
      <c:valAx>
        <c:axId val="1317524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crossAx val="131753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50800" dir="5400000" algn="ctr" rotWithShape="0">
        <a:srgbClr val="000000">
          <a:alpha val="50000"/>
        </a:srgbClr>
      </a:outerShdw>
    </a:effectLst>
  </c:spPr>
  <c:txPr>
    <a:bodyPr/>
    <a:lstStyle/>
    <a:p>
      <a:pPr>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[dashbord_netflix (version 2).xlsx]most_country!PivotTable2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Top 10 Countries by Content Count</a:t>
            </a:r>
          </a:p>
          <a:p>
            <a:pPr>
              <a:defRPr/>
            </a:pP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L"/>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most_country!$B$3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most_country!$A$4:$A$14</c:f>
              <c:strCache>
                <c:ptCount val="10"/>
                <c:pt idx="0">
                  <c:v>Canada</c:v>
                </c:pt>
                <c:pt idx="1">
                  <c:v>Egypt</c:v>
                </c:pt>
                <c:pt idx="2">
                  <c:v>France</c:v>
                </c:pt>
                <c:pt idx="3">
                  <c:v>India</c:v>
                </c:pt>
                <c:pt idx="4">
                  <c:v>Japan</c:v>
                </c:pt>
                <c:pt idx="5">
                  <c:v>Mexico</c:v>
                </c:pt>
                <c:pt idx="6">
                  <c:v>South Korea</c:v>
                </c:pt>
                <c:pt idx="7">
                  <c:v>Spain</c:v>
                </c:pt>
                <c:pt idx="8">
                  <c:v>United Kingdom</c:v>
                </c:pt>
                <c:pt idx="9">
                  <c:v>United States</c:v>
                </c:pt>
              </c:strCache>
            </c:strRef>
          </c:cat>
          <c:val>
            <c:numRef>
              <c:f>most_country!$B$4:$B$14</c:f>
              <c:numCache>
                <c:formatCode>General</c:formatCode>
                <c:ptCount val="10"/>
                <c:pt idx="0">
                  <c:v>181</c:v>
                </c:pt>
                <c:pt idx="1">
                  <c:v>106</c:v>
                </c:pt>
                <c:pt idx="2">
                  <c:v>124</c:v>
                </c:pt>
                <c:pt idx="3">
                  <c:v>972</c:v>
                </c:pt>
                <c:pt idx="4">
                  <c:v>245</c:v>
                </c:pt>
                <c:pt idx="5">
                  <c:v>110</c:v>
                </c:pt>
                <c:pt idx="6">
                  <c:v>199</c:v>
                </c:pt>
                <c:pt idx="7">
                  <c:v>145</c:v>
                </c:pt>
                <c:pt idx="8">
                  <c:v>419</c:v>
                </c:pt>
                <c:pt idx="9">
                  <c:v>2818</c:v>
                </c:pt>
              </c:numCache>
            </c:numRef>
          </c:val>
          <c:extLst>
            <c:ext xmlns:c16="http://schemas.microsoft.com/office/drawing/2014/chart" uri="{C3380CC4-5D6E-409C-BE32-E72D297353CC}">
              <c16:uniqueId val="{00000000-DB9D-402D-954C-41621F0B080D}"/>
            </c:ext>
          </c:extLst>
        </c:ser>
        <c:dLbls>
          <c:dLblPos val="outEnd"/>
          <c:showLegendKey val="0"/>
          <c:showVal val="1"/>
          <c:showCatName val="0"/>
          <c:showSerName val="0"/>
          <c:showPercent val="0"/>
          <c:showBubbleSize val="0"/>
        </c:dLbls>
        <c:gapWidth val="100"/>
        <c:overlap val="-24"/>
        <c:axId val="606027184"/>
        <c:axId val="605970064"/>
      </c:barChart>
      <c:catAx>
        <c:axId val="606027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crossAx val="605970064"/>
        <c:crosses val="autoZero"/>
        <c:auto val="1"/>
        <c:lblAlgn val="ctr"/>
        <c:lblOffset val="100"/>
        <c:noMultiLvlLbl val="0"/>
      </c:catAx>
      <c:valAx>
        <c:axId val="605970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crossAx val="60602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50800" dir="5400000" algn="ctr" rotWithShape="0">
        <a:srgbClr val="000000">
          <a:alpha val="50000"/>
        </a:srgbClr>
      </a:outerShdw>
    </a:effectLst>
  </c:spPr>
  <c:txPr>
    <a:bodyPr/>
    <a:lstStyle/>
    <a:p>
      <a:pPr>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[dashbord_netflix (version 2).xlsx]added year!PivotTable10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L" sz="1600" b="1" i="0" u="none" strike="noStrike" kern="1200" cap="none" baseline="0">
                <a:solidFill>
                  <a:schemeClr val="bg1"/>
                </a:solidFill>
              </a:rPr>
              <a:t> </a:t>
            </a:r>
            <a:r>
              <a:rPr lang="en-US" sz="1600" b="1" i="0" u="none" strike="noStrike" kern="1200" cap="none" baseline="0">
                <a:solidFill>
                  <a:schemeClr val="bg1"/>
                </a:solidFill>
              </a:rPr>
              <a:t>New Titles Added per Year (by Type)</a:t>
            </a:r>
            <a:br>
              <a:rPr lang="en-US" sz="1600" b="1" i="0" u="none" strike="noStrike" kern="1200" cap="none" baseline="0">
                <a:solidFill>
                  <a:schemeClr val="bg1"/>
                </a:solidFill>
              </a:rPr>
            </a:br>
            <a:endParaRPr lang="en-US" sz="1600" b="1" i="0" u="none" strike="noStrike" kern="1200" cap="none" baseline="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11578064576247"/>
          <c:y val="0.26366255144032924"/>
          <c:w val="0.67421795648325022"/>
          <c:h val="0.62194063704999836"/>
        </c:manualLayout>
      </c:layout>
      <c:lineChart>
        <c:grouping val="standard"/>
        <c:varyColors val="0"/>
        <c:ser>
          <c:idx val="0"/>
          <c:order val="0"/>
          <c:tx>
            <c:strRef>
              <c:f>'added year'!$B$3:$B$4</c:f>
              <c:strCache>
                <c:ptCount val="1"/>
                <c:pt idx="0">
                  <c:v>Movie</c:v>
                </c:pt>
              </c:strCache>
            </c:strRef>
          </c:tx>
          <c:spPr>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cat>
            <c:strRef>
              <c:f>'added year'!$A$5:$A$19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'added year'!$B$5:$B$19</c:f>
              <c:numCache>
                <c:formatCode>General</c:formatCode>
                <c:ptCount val="14"/>
                <c:pt idx="0">
                  <c:v>1</c:v>
                </c:pt>
                <c:pt idx="1">
                  <c:v>2</c:v>
                </c:pt>
                <c:pt idx="2">
                  <c:v>1</c:v>
                </c:pt>
                <c:pt idx="3">
                  <c:v>13</c:v>
                </c:pt>
                <c:pt idx="4">
                  <c:v>3</c:v>
                </c:pt>
                <c:pt idx="5">
                  <c:v>6</c:v>
                </c:pt>
                <c:pt idx="6">
                  <c:v>19</c:v>
                </c:pt>
                <c:pt idx="7">
                  <c:v>56</c:v>
                </c:pt>
                <c:pt idx="8">
                  <c:v>253</c:v>
                </c:pt>
                <c:pt idx="9">
                  <c:v>839</c:v>
                </c:pt>
                <c:pt idx="10">
                  <c:v>1237</c:v>
                </c:pt>
                <c:pt idx="11">
                  <c:v>1424</c:v>
                </c:pt>
                <c:pt idx="12">
                  <c:v>1284</c:v>
                </c:pt>
                <c:pt idx="13">
                  <c:v>993</c:v>
                </c:pt>
              </c:numCache>
            </c:numRef>
          </c:val>
          <c:smooth val="0"/>
          <c:extLst>
            <c:ext xmlns:c16="http://schemas.microsoft.com/office/drawing/2014/chart" uri="{C3380CC4-5D6E-409C-BE32-E72D297353CC}">
              <c16:uniqueId val="{00000000-7E1B-47AF-B217-6CDFD9BCA40A}"/>
            </c:ext>
          </c:extLst>
        </c:ser>
        <c:ser>
          <c:idx val="1"/>
          <c:order val="1"/>
          <c:tx>
            <c:strRef>
              <c:f>'added year'!$C$3:$C$4</c:f>
              <c:strCache>
                <c:ptCount val="1"/>
                <c:pt idx="0">
                  <c:v>TV Show</c:v>
                </c:pt>
              </c:strCache>
            </c:strRef>
          </c:tx>
          <c:spPr>
            <a:ln w="34925" cap="rnd">
              <a:solidFill>
                <a:schemeClr val="accent1">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cat>
            <c:strRef>
              <c:f>'added year'!$A$5:$A$19</c:f>
              <c:strCach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strCache>
            </c:strRef>
          </c:cat>
          <c:val>
            <c:numRef>
              <c:f>'added year'!$C$5:$C$19</c:f>
              <c:numCache>
                <c:formatCode>General</c:formatCode>
                <c:ptCount val="14"/>
                <c:pt idx="0">
                  <c:v>1</c:v>
                </c:pt>
                <c:pt idx="5">
                  <c:v>5</c:v>
                </c:pt>
                <c:pt idx="6">
                  <c:v>5</c:v>
                </c:pt>
                <c:pt idx="7">
                  <c:v>26</c:v>
                </c:pt>
                <c:pt idx="8">
                  <c:v>176</c:v>
                </c:pt>
                <c:pt idx="9">
                  <c:v>349</c:v>
                </c:pt>
                <c:pt idx="10">
                  <c:v>412</c:v>
                </c:pt>
                <c:pt idx="11">
                  <c:v>592</c:v>
                </c:pt>
                <c:pt idx="12">
                  <c:v>595</c:v>
                </c:pt>
                <c:pt idx="13">
                  <c:v>505</c:v>
                </c:pt>
              </c:numCache>
            </c:numRef>
          </c:val>
          <c:smooth val="0"/>
          <c:extLst>
            <c:ext xmlns:c16="http://schemas.microsoft.com/office/drawing/2014/chart" uri="{C3380CC4-5D6E-409C-BE32-E72D297353CC}">
              <c16:uniqueId val="{00000002-B497-40DF-9810-627F08C9E8E5}"/>
            </c:ext>
          </c:extLst>
        </c:ser>
        <c:dLbls>
          <c:showLegendKey val="0"/>
          <c:showVal val="0"/>
          <c:showCatName val="0"/>
          <c:showSerName val="0"/>
          <c:showPercent val="0"/>
          <c:showBubbleSize val="0"/>
        </c:dLbls>
        <c:marker val="1"/>
        <c:smooth val="0"/>
        <c:axId val="1066240304"/>
        <c:axId val="1066244144"/>
      </c:lineChart>
      <c:catAx>
        <c:axId val="10662403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crossAx val="1066244144"/>
        <c:crosses val="autoZero"/>
        <c:auto val="1"/>
        <c:lblAlgn val="ctr"/>
        <c:lblOffset val="100"/>
        <c:noMultiLvlLbl val="0"/>
      </c:catAx>
      <c:valAx>
        <c:axId val="1066244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crossAx val="106624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50800" dir="5400000" algn="ctr" rotWithShape="0">
        <a:srgbClr val="000000">
          <a:alpha val="50000"/>
        </a:srgbClr>
      </a:outerShdw>
    </a:effectLst>
  </c:spPr>
  <c:txPr>
    <a:bodyPr/>
    <a:lstStyle/>
    <a:p>
      <a:pPr>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[dashbord_netflix (version 2).xlsx]movies vs tvs!PivotTable11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Breakdown by Type</a:t>
            </a:r>
            <a:endPar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endParaRPr>
          </a:p>
          <a:p>
            <a:pPr>
              <a:defRPr/>
            </a:pP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endParaRPr>
          </a:p>
        </c:rich>
      </c:tx>
      <c:layout>
        <c:manualLayout>
          <c:xMode val="edge"/>
          <c:yMode val="edge"/>
          <c:x val="0.14947895082739565"/>
          <c:y val="5.574900287695416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L"/>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'movies vs tvs'!$B$3</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1F-4E8B-BFD1-613FF5537310}"/>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1F-4E8B-BFD1-613FF55373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'movies vs tvs'!$A$4:$A$6</c:f>
              <c:strCache>
                <c:ptCount val="2"/>
                <c:pt idx="0">
                  <c:v>Movie</c:v>
                </c:pt>
                <c:pt idx="1">
                  <c:v>TV Show</c:v>
                </c:pt>
              </c:strCache>
            </c:strRef>
          </c:cat>
          <c:val>
            <c:numRef>
              <c:f>'movies vs tvs'!$B$4:$B$6</c:f>
              <c:numCache>
                <c:formatCode>General</c:formatCode>
                <c:ptCount val="2"/>
                <c:pt idx="0">
                  <c:v>6131</c:v>
                </c:pt>
                <c:pt idx="1">
                  <c:v>2676</c:v>
                </c:pt>
              </c:numCache>
            </c:numRef>
          </c:val>
          <c:extLst>
            <c:ext xmlns:c16="http://schemas.microsoft.com/office/drawing/2014/chart" uri="{C3380CC4-5D6E-409C-BE32-E72D297353CC}">
              <c16:uniqueId val="{00000004-001F-4E8B-BFD1-613FF553731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50800" dir="5400000" algn="ctr" rotWithShape="0">
        <a:srgbClr val="000000">
          <a:alpha val="50000"/>
        </a:srgbClr>
      </a:outerShdw>
    </a:effectLst>
  </c:spPr>
  <c:txPr>
    <a:bodyPr/>
    <a:lstStyle/>
    <a:p>
      <a:pPr>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[dashbord_netflix (version 2).xlsx]geners!PivotTable12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Top 10 Genres on Netflix</a:t>
            </a:r>
          </a:p>
          <a:p>
            <a:pPr>
              <a:defRPr/>
            </a:pPr>
            <a:endPar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L"/>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geners!$A$4:$A$14</c:f>
              <c:strCache>
                <c:ptCount val="10"/>
                <c:pt idx="0">
                  <c:v>Children &amp; Family Movies</c:v>
                </c:pt>
                <c:pt idx="1">
                  <c:v>Children &amp; Family Movies, Comedies</c:v>
                </c:pt>
                <c:pt idx="2">
                  <c:v>Comedies, Dramas, International Movies</c:v>
                </c:pt>
                <c:pt idx="3">
                  <c:v>Documentaries</c:v>
                </c:pt>
                <c:pt idx="4">
                  <c:v>Documentaries, International Movies</c:v>
                </c:pt>
                <c:pt idx="5">
                  <c:v>Dramas, Independent Movies, International Movies</c:v>
                </c:pt>
                <c:pt idx="6">
                  <c:v>Dramas, International Movies</c:v>
                </c:pt>
                <c:pt idx="7">
                  <c:v>Dramas, International Movies, Romantic Movies</c:v>
                </c:pt>
                <c:pt idx="8">
                  <c:v>Kids' TV</c:v>
                </c:pt>
                <c:pt idx="9">
                  <c:v>Stand-Up Comedy</c:v>
                </c:pt>
              </c:strCache>
            </c:strRef>
          </c:cat>
          <c:val>
            <c:numRef>
              <c:f>geners!$B$4:$B$14</c:f>
              <c:numCache>
                <c:formatCode>General</c:formatCode>
                <c:ptCount val="10"/>
                <c:pt idx="0">
                  <c:v>215</c:v>
                </c:pt>
                <c:pt idx="1">
                  <c:v>201</c:v>
                </c:pt>
                <c:pt idx="2">
                  <c:v>274</c:v>
                </c:pt>
                <c:pt idx="3">
                  <c:v>359</c:v>
                </c:pt>
                <c:pt idx="4">
                  <c:v>186</c:v>
                </c:pt>
                <c:pt idx="5">
                  <c:v>252</c:v>
                </c:pt>
                <c:pt idx="6">
                  <c:v>362</c:v>
                </c:pt>
                <c:pt idx="7">
                  <c:v>180</c:v>
                </c:pt>
                <c:pt idx="8">
                  <c:v>220</c:v>
                </c:pt>
                <c:pt idx="9">
                  <c:v>334</c:v>
                </c:pt>
              </c:numCache>
            </c:numRef>
          </c:val>
          <c:extLst>
            <c:ext xmlns:c16="http://schemas.microsoft.com/office/drawing/2014/chart" uri="{C3380CC4-5D6E-409C-BE32-E72D297353CC}">
              <c16:uniqueId val="{00000000-1A30-4F27-B75A-0A66B15EB5CF}"/>
            </c:ext>
          </c:extLst>
        </c:ser>
        <c:dLbls>
          <c:dLblPos val="outEnd"/>
          <c:showLegendKey val="0"/>
          <c:showVal val="1"/>
          <c:showCatName val="0"/>
          <c:showSerName val="0"/>
          <c:showPercent val="0"/>
          <c:showBubbleSize val="0"/>
        </c:dLbls>
        <c:gapWidth val="115"/>
        <c:overlap val="-20"/>
        <c:axId val="842190624"/>
        <c:axId val="842207424"/>
      </c:barChart>
      <c:catAx>
        <c:axId val="8421906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crossAx val="842207424"/>
        <c:crosses val="autoZero"/>
        <c:auto val="1"/>
        <c:lblAlgn val="ctr"/>
        <c:lblOffset val="100"/>
        <c:noMultiLvlLbl val="0"/>
      </c:catAx>
      <c:valAx>
        <c:axId val="842207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IL"/>
          </a:p>
        </c:txPr>
        <c:crossAx val="84219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50800" dir="5400000" algn="ctr" rotWithShape="0">
        <a:srgbClr val="000000">
          <a:alpha val="50000"/>
        </a:srgbClr>
      </a:outerShdw>
    </a:effectLst>
  </c:spPr>
  <c:txPr>
    <a:bodyPr/>
    <a:lstStyle/>
    <a:p>
      <a:pPr>
        <a:defRPr/>
      </a:pPr>
      <a:endParaRPr lang="en-I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13</xdr:row>
      <xdr:rowOff>19049</xdr:rowOff>
    </xdr:from>
    <xdr:to>
      <xdr:col>7</xdr:col>
      <xdr:colOff>0</xdr:colOff>
      <xdr:row>23</xdr:row>
      <xdr:rowOff>46464</xdr:rowOff>
    </xdr:to>
    <xdr:graphicFrame macro="">
      <xdr:nvGraphicFramePr>
        <xdr:cNvPr id="2" name="Chart 1">
          <a:extLst>
            <a:ext uri="{FF2B5EF4-FFF2-40B4-BE49-F238E27FC236}">
              <a16:creationId xmlns:a16="http://schemas.microsoft.com/office/drawing/2014/main" id="{E396806E-B829-4D16-A266-5CE0988ED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28</xdr:row>
      <xdr:rowOff>107155</xdr:rowOff>
    </xdr:from>
    <xdr:to>
      <xdr:col>7</xdr:col>
      <xdr:colOff>0</xdr:colOff>
      <xdr:row>41</xdr:row>
      <xdr:rowOff>107155</xdr:rowOff>
    </xdr:to>
    <xdr:graphicFrame macro="">
      <xdr:nvGraphicFramePr>
        <xdr:cNvPr id="3" name="Chart 2">
          <a:extLst>
            <a:ext uri="{FF2B5EF4-FFF2-40B4-BE49-F238E27FC236}">
              <a16:creationId xmlns:a16="http://schemas.microsoft.com/office/drawing/2014/main" id="{19F6597E-C32A-48F7-920F-47AA51D20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510006</xdr:colOff>
      <xdr:row>22</xdr:row>
      <xdr:rowOff>177799</xdr:rowOff>
    </xdr:from>
    <xdr:to>
      <xdr:col>14</xdr:col>
      <xdr:colOff>535406</xdr:colOff>
      <xdr:row>41</xdr:row>
      <xdr:rowOff>107155</xdr:rowOff>
    </xdr:to>
    <xdr:graphicFrame macro="">
      <xdr:nvGraphicFramePr>
        <xdr:cNvPr id="4" name="Chart 3">
          <a:extLst>
            <a:ext uri="{FF2B5EF4-FFF2-40B4-BE49-F238E27FC236}">
              <a16:creationId xmlns:a16="http://schemas.microsoft.com/office/drawing/2014/main" id="{8F69405E-48F8-4522-983B-48F66CCC3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59531</xdr:colOff>
      <xdr:row>13</xdr:row>
      <xdr:rowOff>19049</xdr:rowOff>
    </xdr:from>
    <xdr:to>
      <xdr:col>21</xdr:col>
      <xdr:colOff>95251</xdr:colOff>
      <xdr:row>23</xdr:row>
      <xdr:rowOff>0</xdr:rowOff>
    </xdr:to>
    <xdr:graphicFrame macro="">
      <xdr:nvGraphicFramePr>
        <xdr:cNvPr id="5" name="Chart 4">
          <a:extLst>
            <a:ext uri="{FF2B5EF4-FFF2-40B4-BE49-F238E27FC236}">
              <a16:creationId xmlns:a16="http://schemas.microsoft.com/office/drawing/2014/main" id="{8613422E-B198-424C-845F-D740CB6D4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26</xdr:row>
      <xdr:rowOff>120649</xdr:rowOff>
    </xdr:from>
    <xdr:to>
      <xdr:col>21</xdr:col>
      <xdr:colOff>95250</xdr:colOff>
      <xdr:row>41</xdr:row>
      <xdr:rowOff>107155</xdr:rowOff>
    </xdr:to>
    <xdr:graphicFrame macro="">
      <xdr:nvGraphicFramePr>
        <xdr:cNvPr id="6" name="Chart 5">
          <a:extLst>
            <a:ext uri="{FF2B5EF4-FFF2-40B4-BE49-F238E27FC236}">
              <a16:creationId xmlns:a16="http://schemas.microsoft.com/office/drawing/2014/main" id="{81132277-C741-4232-BEBC-D6B82DD6E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576204</xdr:colOff>
      <xdr:row>0</xdr:row>
      <xdr:rowOff>184354</xdr:rowOff>
    </xdr:from>
    <xdr:to>
      <xdr:col>21</xdr:col>
      <xdr:colOff>59973</xdr:colOff>
      <xdr:row>4</xdr:row>
      <xdr:rowOff>184354</xdr:rowOff>
    </xdr:to>
    <xdr:sp macro="" textlink="">
      <xdr:nvSpPr>
        <xdr:cNvPr id="9" name="Rectangle: Rounded Corners 8">
          <a:extLst>
            <a:ext uri="{FF2B5EF4-FFF2-40B4-BE49-F238E27FC236}">
              <a16:creationId xmlns:a16="http://schemas.microsoft.com/office/drawing/2014/main" id="{0EE938ED-CDFC-46FD-67F2-D66C129D6F77}"/>
            </a:ext>
          </a:extLst>
        </xdr:cNvPr>
        <xdr:cNvSpPr/>
      </xdr:nvSpPr>
      <xdr:spPr>
        <a:xfrm>
          <a:off x="576204" y="184354"/>
          <a:ext cx="12324880" cy="752593"/>
        </a:xfrm>
        <a:prstGeom prst="roundRect">
          <a:avLst/>
        </a:prstGeom>
        <a:effectLst>
          <a:outerShdw blurRad="508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800" b="1"/>
            <a:t>Netflix Content Dashboard</a:t>
          </a:r>
          <a:endParaRPr lang="en-US" sz="2800"/>
        </a:p>
        <a:p>
          <a:pPr algn="ctr"/>
          <a:endParaRPr lang="en-IL" sz="2800"/>
        </a:p>
      </xdr:txBody>
    </xdr:sp>
    <xdr:clientData/>
  </xdr:twoCellAnchor>
  <xdr:twoCellAnchor>
    <xdr:from>
      <xdr:col>6</xdr:col>
      <xdr:colOff>184263</xdr:colOff>
      <xdr:row>5</xdr:row>
      <xdr:rowOff>162166</xdr:rowOff>
    </xdr:from>
    <xdr:to>
      <xdr:col>10</xdr:col>
      <xdr:colOff>254208</xdr:colOff>
      <xdr:row>11</xdr:row>
      <xdr:rowOff>141111</xdr:rowOff>
    </xdr:to>
    <xdr:sp macro="" textlink="'movies vs tvs'!J3">
      <xdr:nvSpPr>
        <xdr:cNvPr id="11" name="Rectangle: Rounded Corners 10">
          <a:extLst>
            <a:ext uri="{FF2B5EF4-FFF2-40B4-BE49-F238E27FC236}">
              <a16:creationId xmlns:a16="http://schemas.microsoft.com/office/drawing/2014/main" id="{B61ACEA8-89E4-4D2E-83AD-E7F74CBEA082}"/>
            </a:ext>
          </a:extLst>
        </xdr:cNvPr>
        <xdr:cNvSpPr/>
      </xdr:nvSpPr>
      <xdr:spPr>
        <a:xfrm>
          <a:off x="3853152" y="1102907"/>
          <a:ext cx="2515871" cy="1107834"/>
        </a:xfrm>
        <a:prstGeom prst="roundRect">
          <a:avLst/>
        </a:prstGeom>
        <a:solidFill>
          <a:schemeClr val="tx2">
            <a:lumMod val="25000"/>
            <a:lumOff val="75000"/>
          </a:schemeClr>
        </a:solidFill>
        <a:effectLst>
          <a:outerShdw blurRad="508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8ADE2B8-0419-4A57-B89F-91C98AA68DC3}" type="TxLink">
            <a:rPr lang="en-US" sz="1800" b="0" i="0" u="none" strike="noStrike">
              <a:solidFill>
                <a:srgbClr val="000000"/>
              </a:solidFill>
              <a:latin typeface="Aptos Narrow"/>
            </a:rPr>
            <a:t>Movies: 70%
TV Shows: 30%</a:t>
          </a:fld>
          <a:endParaRPr lang="en-US" sz="1800"/>
        </a:p>
      </xdr:txBody>
    </xdr:sp>
    <xdr:clientData/>
  </xdr:twoCellAnchor>
  <xdr:twoCellAnchor>
    <xdr:from>
      <xdr:col>0</xdr:col>
      <xdr:colOff>576204</xdr:colOff>
      <xdr:row>5</xdr:row>
      <xdr:rowOff>136280</xdr:rowOff>
    </xdr:from>
    <xdr:to>
      <xdr:col>5</xdr:col>
      <xdr:colOff>59973</xdr:colOff>
      <xdr:row>11</xdr:row>
      <xdr:rowOff>141111</xdr:rowOff>
    </xdr:to>
    <xdr:sp macro="" textlink="view_total_titles!A2">
      <xdr:nvSpPr>
        <xdr:cNvPr id="12" name="Rectangle: Rounded Corners 11">
          <a:extLst>
            <a:ext uri="{FF2B5EF4-FFF2-40B4-BE49-F238E27FC236}">
              <a16:creationId xmlns:a16="http://schemas.microsoft.com/office/drawing/2014/main" id="{BC97136A-E87D-4074-816D-D8EC54B7DEB3}"/>
            </a:ext>
          </a:extLst>
        </xdr:cNvPr>
        <xdr:cNvSpPr/>
      </xdr:nvSpPr>
      <xdr:spPr>
        <a:xfrm>
          <a:off x="576204" y="1077021"/>
          <a:ext cx="2541176" cy="1133720"/>
        </a:xfrm>
        <a:prstGeom prst="roundRect">
          <a:avLst/>
        </a:prstGeom>
        <a:solidFill>
          <a:schemeClr val="tx2">
            <a:lumMod val="25000"/>
            <a:lumOff val="75000"/>
          </a:schemeClr>
        </a:solidFill>
        <a:effectLst>
          <a:outerShdw blurRad="508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0" i="0" u="none" strike="noStrike">
              <a:solidFill>
                <a:srgbClr val="000000"/>
              </a:solidFill>
              <a:latin typeface="Aptos Narrow"/>
            </a:rPr>
            <a:t>Total</a:t>
          </a:r>
          <a:r>
            <a:rPr lang="en-US" sz="1800" b="0" i="0" u="none" strike="noStrike" baseline="0">
              <a:solidFill>
                <a:srgbClr val="000000"/>
              </a:solidFill>
              <a:latin typeface="Aptos Narrow"/>
            </a:rPr>
            <a:t> Titles:</a:t>
          </a:r>
          <a:endParaRPr lang="en-US" sz="1800" b="0" i="0" u="none" strike="noStrike">
            <a:solidFill>
              <a:srgbClr val="000000"/>
            </a:solidFill>
            <a:latin typeface="Aptos Narrow"/>
          </a:endParaRPr>
        </a:p>
        <a:p>
          <a:pPr algn="ctr"/>
          <a:fld id="{975CDF11-CCC1-4CD8-A534-F9C080445C59}" type="TxLink">
            <a:rPr lang="en-US" sz="1800" b="1" i="0" u="none" strike="noStrike">
              <a:solidFill>
                <a:srgbClr val="000000"/>
              </a:solidFill>
              <a:latin typeface="Aptos Narrow"/>
            </a:rPr>
            <a:pPr algn="ctr"/>
            <a:t>8807</a:t>
          </a:fld>
          <a:endParaRPr lang="en-IL" sz="1800" b="1"/>
        </a:p>
      </xdr:txBody>
    </xdr:sp>
    <xdr:clientData/>
  </xdr:twoCellAnchor>
  <xdr:twoCellAnchor>
    <xdr:from>
      <xdr:col>17</xdr:col>
      <xdr:colOff>0</xdr:colOff>
      <xdr:row>6</xdr:row>
      <xdr:rowOff>5410</xdr:rowOff>
    </xdr:from>
    <xdr:to>
      <xdr:col>21</xdr:col>
      <xdr:colOff>95250</xdr:colOff>
      <xdr:row>11</xdr:row>
      <xdr:rowOff>141111</xdr:rowOff>
    </xdr:to>
    <xdr:sp macro="" textlink="'added year'!H5">
      <xdr:nvSpPr>
        <xdr:cNvPr id="13" name="Rectangle: Rounded Corners 12">
          <a:extLst>
            <a:ext uri="{FF2B5EF4-FFF2-40B4-BE49-F238E27FC236}">
              <a16:creationId xmlns:a16="http://schemas.microsoft.com/office/drawing/2014/main" id="{6B13FC2B-3FB2-4385-9D08-50E1FBA7EC1B}"/>
            </a:ext>
          </a:extLst>
        </xdr:cNvPr>
        <xdr:cNvSpPr/>
      </xdr:nvSpPr>
      <xdr:spPr>
        <a:xfrm>
          <a:off x="10395185" y="1134299"/>
          <a:ext cx="2541176" cy="1076442"/>
        </a:xfrm>
        <a:prstGeom prst="roundRect">
          <a:avLst/>
        </a:prstGeom>
        <a:solidFill>
          <a:schemeClr val="tx2">
            <a:lumMod val="25000"/>
            <a:lumOff val="75000"/>
          </a:schemeClr>
        </a:solidFill>
        <a:effectLst>
          <a:outerShdw blurRad="508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F616FF9-1C2C-4480-B0A0-FB4C80C87F51}" type="TxLink">
            <a:rPr lang="en-US" sz="1800" b="0" i="0" u="none" strike="noStrike">
              <a:solidFill>
                <a:srgbClr val="000000"/>
              </a:solidFill>
              <a:latin typeface="Aptos Narrow"/>
            </a:rPr>
            <a:t>Top Year: 2018
Titles Added: 1,649</a:t>
          </a:fld>
          <a:endParaRPr lang="en-IL" sz="1800"/>
        </a:p>
      </xdr:txBody>
    </xdr:sp>
    <xdr:clientData/>
  </xdr:twoCellAnchor>
  <xdr:twoCellAnchor>
    <xdr:from>
      <xdr:col>11</xdr:col>
      <xdr:colOff>446096</xdr:colOff>
      <xdr:row>5</xdr:row>
      <xdr:rowOff>185636</xdr:rowOff>
    </xdr:from>
    <xdr:to>
      <xdr:col>15</xdr:col>
      <xdr:colOff>541346</xdr:colOff>
      <xdr:row>11</xdr:row>
      <xdr:rowOff>141111</xdr:rowOff>
    </xdr:to>
    <xdr:sp macro="" textlink="most_country!I4">
      <xdr:nvSpPr>
        <xdr:cNvPr id="14" name="Rectangle: Rounded Corners 13">
          <a:extLst>
            <a:ext uri="{FF2B5EF4-FFF2-40B4-BE49-F238E27FC236}">
              <a16:creationId xmlns:a16="http://schemas.microsoft.com/office/drawing/2014/main" id="{41A76420-B044-45C2-B7DF-3AFC096220FD}"/>
            </a:ext>
          </a:extLst>
        </xdr:cNvPr>
        <xdr:cNvSpPr/>
      </xdr:nvSpPr>
      <xdr:spPr>
        <a:xfrm>
          <a:off x="7172392" y="1126377"/>
          <a:ext cx="2541176" cy="1084364"/>
        </a:xfrm>
        <a:prstGeom prst="roundRect">
          <a:avLst/>
        </a:prstGeom>
        <a:solidFill>
          <a:schemeClr val="tx2">
            <a:lumMod val="25000"/>
            <a:lumOff val="75000"/>
          </a:schemeClr>
        </a:solidFill>
        <a:effectLst>
          <a:outerShdw blurRad="508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CE25CE0-F512-4D88-812F-C4794C401711}" type="TxLink">
            <a:rPr lang="en-US" sz="1800" b="0" i="0" u="none" strike="noStrike">
              <a:solidFill>
                <a:srgbClr val="000000"/>
              </a:solidFill>
              <a:latin typeface="Aptos Narrow"/>
            </a:rPr>
            <a:t>Top Country: United States
Titles: 2,818</a:t>
          </a:fld>
          <a:endParaRPr lang="en-IL" sz="1800"/>
        </a:p>
      </xdr:txBody>
    </xdr:sp>
    <xdr:clientData/>
  </xdr:twoCellAnchor>
  <xdr:twoCellAnchor>
    <xdr:from>
      <xdr:col>7</xdr:col>
      <xdr:colOff>487481</xdr:colOff>
      <xdr:row>13</xdr:row>
      <xdr:rowOff>19049</xdr:rowOff>
    </xdr:from>
    <xdr:to>
      <xdr:col>14</xdr:col>
      <xdr:colOff>535406</xdr:colOff>
      <xdr:row>18</xdr:row>
      <xdr:rowOff>141111</xdr:rowOff>
    </xdr:to>
    <xdr:sp macro="" textlink="">
      <xdr:nvSpPr>
        <xdr:cNvPr id="15" name="Rectangle: Rounded Corners 14">
          <a:extLst>
            <a:ext uri="{FF2B5EF4-FFF2-40B4-BE49-F238E27FC236}">
              <a16:creationId xmlns:a16="http://schemas.microsoft.com/office/drawing/2014/main" id="{47442C1E-2087-4788-FB84-DB3CFBF5E6DF}"/>
            </a:ext>
          </a:extLst>
        </xdr:cNvPr>
        <xdr:cNvSpPr/>
      </xdr:nvSpPr>
      <xdr:spPr>
        <a:xfrm>
          <a:off x="4767851" y="2464975"/>
          <a:ext cx="4328296" cy="1062803"/>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L" sz="1100"/>
        </a:p>
      </xdr:txBody>
    </xdr:sp>
    <xdr:clientData/>
  </xdr:twoCellAnchor>
  <xdr:twoCellAnchor editAs="oneCell">
    <xdr:from>
      <xdr:col>8</xdr:col>
      <xdr:colOff>173868</xdr:colOff>
      <xdr:row>13</xdr:row>
      <xdr:rowOff>64223</xdr:rowOff>
    </xdr:from>
    <xdr:to>
      <xdr:col>11</xdr:col>
      <xdr:colOff>159120</xdr:colOff>
      <xdr:row>18</xdr:row>
      <xdr:rowOff>47037</xdr:rowOff>
    </xdr:to>
    <mc:AlternateContent xmlns:mc="http://schemas.openxmlformats.org/markup-compatibility/2006">
      <mc:Choice xmlns:a14="http://schemas.microsoft.com/office/drawing/2010/main" Requires="a14">
        <xdr:graphicFrame macro="">
          <xdr:nvGraphicFramePr>
            <xdr:cNvPr id="7" name="type">
              <a:extLst>
                <a:ext uri="{FF2B5EF4-FFF2-40B4-BE49-F238E27FC236}">
                  <a16:creationId xmlns:a16="http://schemas.microsoft.com/office/drawing/2014/main" id="{7BBAAF98-9312-E3EE-5F81-5684898EE53A}"/>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5065720" y="2510149"/>
              <a:ext cx="1819696" cy="923555"/>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410650</xdr:colOff>
      <xdr:row>13</xdr:row>
      <xdr:rowOff>64222</xdr:rowOff>
    </xdr:from>
    <xdr:to>
      <xdr:col>14</xdr:col>
      <xdr:colOff>395901</xdr:colOff>
      <xdr:row>18</xdr:row>
      <xdr:rowOff>47036</xdr:rowOff>
    </xdr:to>
    <mc:AlternateContent xmlns:mc="http://schemas.openxmlformats.org/markup-compatibility/2006">
      <mc:Choice xmlns:a14="http://schemas.microsoft.com/office/drawing/2010/main" Requires="a14">
        <xdr:graphicFrame macro="">
          <xdr:nvGraphicFramePr>
            <xdr:cNvPr id="8" name="year_added">
              <a:extLst>
                <a:ext uri="{FF2B5EF4-FFF2-40B4-BE49-F238E27FC236}">
                  <a16:creationId xmlns:a16="http://schemas.microsoft.com/office/drawing/2014/main" id="{BAD6356C-AA2C-4E43-0D93-D6893D1716DB}"/>
                </a:ext>
              </a:extLst>
            </xdr:cNvPr>
            <xdr:cNvGraphicFramePr/>
          </xdr:nvGraphicFramePr>
          <xdr:xfrm>
            <a:off x="0" y="0"/>
            <a:ext cx="0" cy="0"/>
          </xdr:xfrm>
          <a:graphic>
            <a:graphicData uri="http://schemas.microsoft.com/office/drawing/2010/slicer">
              <sle:slicer xmlns:sle="http://schemas.microsoft.com/office/drawing/2010/slicer" name="year_added"/>
            </a:graphicData>
          </a:graphic>
        </xdr:graphicFrame>
      </mc:Choice>
      <mc:Fallback>
        <xdr:sp macro="" textlink="">
          <xdr:nvSpPr>
            <xdr:cNvPr id="0" name=""/>
            <xdr:cNvSpPr>
              <a:spLocks noTextEdit="1"/>
            </xdr:cNvSpPr>
          </xdr:nvSpPr>
          <xdr:spPr>
            <a:xfrm>
              <a:off x="7136946" y="2510148"/>
              <a:ext cx="1819696" cy="923555"/>
            </a:xfrm>
            <a:prstGeom prst="rect">
              <a:avLst/>
            </a:prstGeom>
            <a:solidFill>
              <a:prstClr val="white"/>
            </a:solidFill>
            <a:ln w="1">
              <a:solidFill>
                <a:prstClr val="green"/>
              </a:solidFill>
            </a:ln>
          </xdr:spPr>
          <xdr:txBody>
            <a:bodyPr vertOverflow="clip" horzOverflow="clip"/>
            <a:lstStyle/>
            <a:p>
              <a:r>
                <a:rPr lang="en-IL"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 refreshedDate="45972.806132060185" createdVersion="8" refreshedVersion="8" minRefreshableVersion="3" recordCount="14" xr:uid="{E84DF237-B69B-4ECE-8CBA-439A5D8D4E7F}">
  <cacheSource type="worksheet">
    <worksheetSource name="ratings__2"/>
  </cacheSource>
  <cacheFields count="2">
    <cacheField name="rating" numFmtId="0">
      <sharedItems count="14">
        <s v="TV-MA"/>
        <s v="TV-14"/>
        <s v="TV-PG"/>
        <s v="R"/>
        <s v="PG-13"/>
        <s v="TV-Y7"/>
        <s v="TV-Y"/>
        <s v="PG"/>
        <s v="TV-G"/>
        <s v="NR"/>
        <s v="G"/>
        <s v="TV-Y7-FV"/>
        <s v="NC-17"/>
        <s v="UR"/>
      </sharedItems>
    </cacheField>
    <cacheField name="count" numFmtId="0">
      <sharedItems containsSemiMixedTypes="0" containsString="0" containsNumber="1" containsInteger="1" minValue="3" maxValue="320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 refreshedDate="45972.809806249999" createdVersion="8" refreshedVersion="8" minRefreshableVersion="3" recordCount="10" xr:uid="{9EEB5DA0-091C-4AD9-AA71-9804497BDBD7}">
  <cacheSource type="worksheet">
    <worksheetSource name="most_country__2"/>
  </cacheSource>
  <cacheFields count="2">
    <cacheField name="country" numFmtId="0">
      <sharedItems count="10">
        <s v="United States"/>
        <s v="India"/>
        <s v="United Kingdom"/>
        <s v="Japan"/>
        <s v="South Korea"/>
        <s v="Canada"/>
        <s v="Spain"/>
        <s v="France"/>
        <s v="Mexico"/>
        <s v="Egypt"/>
      </sharedItems>
    </cacheField>
    <cacheField name="count" numFmtId="0">
      <sharedItems containsSemiMixedTypes="0" containsString="0" containsNumber="1" containsInteger="1" minValue="106" maxValue="281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 refreshedDate="45972.81735740741" createdVersion="8" refreshedVersion="8" minRefreshableVersion="3" recordCount="24" xr:uid="{B89A6850-75AF-4E03-86A9-35296D7FEAB6}">
  <cacheSource type="worksheet">
    <worksheetSource name="added_year__3"/>
  </cacheSource>
  <cacheFields count="3">
    <cacheField name="year_added" numFmtId="0">
      <sharedItems containsSemiMixedTypes="0" containsString="0" containsNumber="1" containsInteger="1" minValue="2008" maxValue="2021" count="14">
        <n v="2019"/>
        <n v="2020"/>
        <n v="2018"/>
        <n v="2021"/>
        <n v="2017"/>
        <n v="2016"/>
        <n v="2015"/>
        <n v="2014"/>
        <n v="2011"/>
        <n v="2013"/>
        <n v="2012"/>
        <n v="2009"/>
        <n v="2008"/>
        <n v="2010"/>
      </sharedItems>
    </cacheField>
    <cacheField name="type" numFmtId="0">
      <sharedItems count="2">
        <s v="Movie"/>
        <s v="TV Show"/>
      </sharedItems>
    </cacheField>
    <cacheField name="count" numFmtId="0">
      <sharedItems containsSemiMixedTypes="0" containsString="0" containsNumber="1" containsInteger="1" minValue="1" maxValue="1424"/>
    </cacheField>
  </cacheFields>
  <extLst>
    <ext xmlns:x14="http://schemas.microsoft.com/office/spreadsheetml/2009/9/main" uri="{725AE2AE-9491-48be-B2B4-4EB974FC3084}">
      <x14:pivotCacheDefinition pivotCacheId="104568794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 refreshedDate="45972.823183796296" createdVersion="8" refreshedVersion="8" minRefreshableVersion="3" recordCount="2" xr:uid="{672FF0C7-28BB-4B60-8664-63CD468BFF28}">
  <cacheSource type="worksheet">
    <worksheetSource name="view_movies_vs_shows__2"/>
  </cacheSource>
  <cacheFields count="2">
    <cacheField name="type" numFmtId="0">
      <sharedItems count="2">
        <s v="Movie"/>
        <s v="TV Show"/>
      </sharedItems>
    </cacheField>
    <cacheField name="COUNT(*)" numFmtId="0">
      <sharedItems containsSemiMixedTypes="0" containsString="0" containsNumber="1" containsInteger="1" minValue="2676" maxValue="613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 refreshedDate="45972.826138425924" createdVersion="8" refreshedVersion="8" minRefreshableVersion="3" recordCount="10" xr:uid="{5B1894DB-4263-49D3-872D-154911D44D03}">
  <cacheSource type="worksheet">
    <worksheetSource name="most_listed_n__2"/>
  </cacheSource>
  <cacheFields count="2">
    <cacheField name="listed_in" numFmtId="0">
      <sharedItems count="10">
        <s v="Dramas, International Movies"/>
        <s v="Documentaries"/>
        <s v="Stand-Up Comedy"/>
        <s v="Comedies, Dramas, International Movies"/>
        <s v="Dramas, Independent Movies, International Movies"/>
        <s v="Kids' TV"/>
        <s v="Children &amp; Family Movies"/>
        <s v="Children &amp; Family Movies, Comedies"/>
        <s v="Documentaries, International Movies"/>
        <s v="Dramas, International Movies, Romantic Movies"/>
      </sharedItems>
    </cacheField>
    <cacheField name="count" numFmtId="0">
      <sharedItems containsSemiMixedTypes="0" containsString="0" containsNumber="1" containsInteger="1" minValue="180" maxValue="36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n v="3207"/>
  </r>
  <r>
    <x v="1"/>
    <n v="2160"/>
  </r>
  <r>
    <x v="2"/>
    <n v="863"/>
  </r>
  <r>
    <x v="3"/>
    <n v="799"/>
  </r>
  <r>
    <x v="4"/>
    <n v="490"/>
  </r>
  <r>
    <x v="5"/>
    <n v="334"/>
  </r>
  <r>
    <x v="6"/>
    <n v="307"/>
  </r>
  <r>
    <x v="7"/>
    <n v="287"/>
  </r>
  <r>
    <x v="8"/>
    <n v="220"/>
  </r>
  <r>
    <x v="9"/>
    <n v="80"/>
  </r>
  <r>
    <x v="10"/>
    <n v="41"/>
  </r>
  <r>
    <x v="11"/>
    <n v="6"/>
  </r>
  <r>
    <x v="12"/>
    <n v="3"/>
  </r>
  <r>
    <x v="13"/>
    <n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2818"/>
  </r>
  <r>
    <x v="1"/>
    <n v="972"/>
  </r>
  <r>
    <x v="2"/>
    <n v="419"/>
  </r>
  <r>
    <x v="3"/>
    <n v="245"/>
  </r>
  <r>
    <x v="4"/>
    <n v="199"/>
  </r>
  <r>
    <x v="5"/>
    <n v="181"/>
  </r>
  <r>
    <x v="6"/>
    <n v="145"/>
  </r>
  <r>
    <x v="7"/>
    <n v="124"/>
  </r>
  <r>
    <x v="8"/>
    <n v="110"/>
  </r>
  <r>
    <x v="9"/>
    <n v="10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1424"/>
  </r>
  <r>
    <x v="1"/>
    <x v="0"/>
    <n v="1284"/>
  </r>
  <r>
    <x v="2"/>
    <x v="0"/>
    <n v="1237"/>
  </r>
  <r>
    <x v="3"/>
    <x v="0"/>
    <n v="993"/>
  </r>
  <r>
    <x v="4"/>
    <x v="0"/>
    <n v="839"/>
  </r>
  <r>
    <x v="1"/>
    <x v="1"/>
    <n v="595"/>
  </r>
  <r>
    <x v="0"/>
    <x v="1"/>
    <n v="592"/>
  </r>
  <r>
    <x v="3"/>
    <x v="1"/>
    <n v="505"/>
  </r>
  <r>
    <x v="2"/>
    <x v="1"/>
    <n v="412"/>
  </r>
  <r>
    <x v="4"/>
    <x v="1"/>
    <n v="349"/>
  </r>
  <r>
    <x v="5"/>
    <x v="0"/>
    <n v="253"/>
  </r>
  <r>
    <x v="5"/>
    <x v="1"/>
    <n v="176"/>
  </r>
  <r>
    <x v="6"/>
    <x v="0"/>
    <n v="56"/>
  </r>
  <r>
    <x v="6"/>
    <x v="1"/>
    <n v="26"/>
  </r>
  <r>
    <x v="7"/>
    <x v="0"/>
    <n v="19"/>
  </r>
  <r>
    <x v="8"/>
    <x v="0"/>
    <n v="13"/>
  </r>
  <r>
    <x v="9"/>
    <x v="0"/>
    <n v="6"/>
  </r>
  <r>
    <x v="7"/>
    <x v="1"/>
    <n v="5"/>
  </r>
  <r>
    <x v="9"/>
    <x v="1"/>
    <n v="5"/>
  </r>
  <r>
    <x v="10"/>
    <x v="0"/>
    <n v="3"/>
  </r>
  <r>
    <x v="11"/>
    <x v="0"/>
    <n v="2"/>
  </r>
  <r>
    <x v="12"/>
    <x v="0"/>
    <n v="1"/>
  </r>
  <r>
    <x v="12"/>
    <x v="1"/>
    <n v="1"/>
  </r>
  <r>
    <x v="13"/>
    <x v="0"/>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6131"/>
  </r>
  <r>
    <x v="1"/>
    <n v="267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362"/>
  </r>
  <r>
    <x v="1"/>
    <n v="359"/>
  </r>
  <r>
    <x v="2"/>
    <n v="334"/>
  </r>
  <r>
    <x v="3"/>
    <n v="274"/>
  </r>
  <r>
    <x v="4"/>
    <n v="252"/>
  </r>
  <r>
    <x v="5"/>
    <n v="220"/>
  </r>
  <r>
    <x v="6"/>
    <n v="215"/>
  </r>
  <r>
    <x v="7"/>
    <n v="201"/>
  </r>
  <r>
    <x v="8"/>
    <n v="186"/>
  </r>
  <r>
    <x v="9"/>
    <n v="1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0715BD-C7B9-47E0-AC82-1FA9046865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8" firstHeaderRow="1" firstDataRow="1" firstDataCol="1"/>
  <pivotFields count="2">
    <pivotField axis="axisRow" showAll="0">
      <items count="15">
        <item x="10"/>
        <item x="12"/>
        <item x="9"/>
        <item x="7"/>
        <item x="4"/>
        <item x="3"/>
        <item x="1"/>
        <item x="8"/>
        <item x="0"/>
        <item x="2"/>
        <item x="6"/>
        <item x="5"/>
        <item x="11"/>
        <item x="13"/>
        <item t="default"/>
      </items>
    </pivotField>
    <pivotField dataField="1"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count"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06DDBB-2028-4205-97F2-82CEFD8010B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
    <pivotField axis="axisRow" showAll="0">
      <items count="11">
        <item x="5"/>
        <item x="9"/>
        <item x="7"/>
        <item x="1"/>
        <item x="3"/>
        <item x="8"/>
        <item x="4"/>
        <item x="6"/>
        <item x="2"/>
        <item x="0"/>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Sum of count"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B67225-3CB2-4D9E-8A61-878EF6A95FE3}"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9" firstHeaderRow="1" firstDataRow="2" firstDataCol="1"/>
  <pivotFields count="3">
    <pivotField axis="axisRow" showAll="0">
      <items count="15">
        <item x="12"/>
        <item x="11"/>
        <item x="13"/>
        <item x="8"/>
        <item x="10"/>
        <item x="9"/>
        <item x="7"/>
        <item x="6"/>
        <item x="5"/>
        <item x="4"/>
        <item x="2"/>
        <item x="0"/>
        <item x="1"/>
        <item x="3"/>
        <item t="default"/>
      </items>
    </pivotField>
    <pivotField axis="axisCol" showAll="0">
      <items count="3">
        <item x="0"/>
        <item x="1"/>
        <item t="default"/>
      </items>
    </pivotField>
    <pivotField dataField="1" showAll="0"/>
  </pivotFields>
  <rowFields count="1">
    <field x="0"/>
  </rowFields>
  <rowItems count="15">
    <i>
      <x/>
    </i>
    <i>
      <x v="1"/>
    </i>
    <i>
      <x v="2"/>
    </i>
    <i>
      <x v="3"/>
    </i>
    <i>
      <x v="4"/>
    </i>
    <i>
      <x v="5"/>
    </i>
    <i>
      <x v="6"/>
    </i>
    <i>
      <x v="7"/>
    </i>
    <i>
      <x v="8"/>
    </i>
    <i>
      <x v="9"/>
    </i>
    <i>
      <x v="10"/>
    </i>
    <i>
      <x v="11"/>
    </i>
    <i>
      <x v="12"/>
    </i>
    <i>
      <x v="13"/>
    </i>
    <i t="grand">
      <x/>
    </i>
  </rowItems>
  <colFields count="1">
    <field x="1"/>
  </colFields>
  <colItems count="3">
    <i>
      <x/>
    </i>
    <i>
      <x v="1"/>
    </i>
    <i t="grand">
      <x/>
    </i>
  </colItems>
  <dataFields count="1">
    <dataField name="Sum of count" fld="2" baseField="0" baseItem="0"/>
  </dataFields>
  <chartFormats count="2">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CC88AE-93D5-4CFF-97E0-FB6228D076F6}"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COUNT(*)" fld="1"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351EAB-3B72-46C1-ABC1-92F98863BA64}"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2">
    <pivotField axis="axisRow" showAll="0">
      <items count="11">
        <item x="6"/>
        <item x="7"/>
        <item x="3"/>
        <item x="1"/>
        <item x="8"/>
        <item x="4"/>
        <item x="0"/>
        <item x="9"/>
        <item x="5"/>
        <item x="2"/>
        <item t="default"/>
      </items>
    </pivotField>
    <pivotField dataField="1" showAll="0"/>
  </pivotFields>
  <rowFields count="1">
    <field x="0"/>
  </rowFields>
  <rowItems count="11">
    <i>
      <x/>
    </i>
    <i>
      <x v="1"/>
    </i>
    <i>
      <x v="2"/>
    </i>
    <i>
      <x v="3"/>
    </i>
    <i>
      <x v="4"/>
    </i>
    <i>
      <x v="5"/>
    </i>
    <i>
      <x v="6"/>
    </i>
    <i>
      <x v="7"/>
    </i>
    <i>
      <x v="8"/>
    </i>
    <i>
      <x v="9"/>
    </i>
    <i t="grand">
      <x/>
    </i>
  </rowItems>
  <colItems count="1">
    <i/>
  </colItems>
  <dataFields count="1">
    <dataField name="Sum of count" fld="1" baseField="0" baseItem="0"/>
  </dataField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5" xr16:uid="{B34BBE49-9CE5-4F5A-8BCD-9E5275A6818D}" autoFormatId="16" applyNumberFormats="0" applyBorderFormats="0" applyFontFormats="0" applyPatternFormats="0" applyAlignmentFormats="0" applyWidthHeightFormats="0">
  <queryTableRefresh nextId="2">
    <queryTableFields count="1">
      <queryTableField id="1" name="count"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75F08765-90B9-4884-96F0-ED7FC5F39F06}" sourceName="type">
  <pivotTables>
    <pivotTable tabId="31" name="PivotTable10"/>
  </pivotTables>
  <data>
    <tabular pivotCacheId="10456879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added" xr10:uid="{C45F8AC6-C570-42EB-8E64-C6D8D0F33E02}" sourceName="year_added">
  <pivotTables>
    <pivotTable tabId="31" name="PivotTable10"/>
  </pivotTables>
  <data>
    <tabular pivotCacheId="1045687945">
      <items count="14">
        <i x="12" s="1"/>
        <i x="11" s="1"/>
        <i x="13" s="1"/>
        <i x="8" s="1"/>
        <i x="10" s="1"/>
        <i x="9" s="1"/>
        <i x="7" s="1"/>
        <i x="6" s="1"/>
        <i x="5" s="1"/>
        <i x="4" s="1"/>
        <i x="2" s="1"/>
        <i x="0" s="1"/>
        <i x="1"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AF3C8E89-A7C0-48DE-9C97-D1D79410DCCB}" cache="Slicer_type" caption="type" style="SlicerStyleOther2" rowHeight="251883"/>
  <slicer name="year_added" xr10:uid="{0B4814B9-A936-444D-B07B-CA5FE2F8887A}" cache="Slicer_year_added" caption="year_added" startItem="5" style="SlicerStyleOther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0FE2DD-0BE0-4801-BF96-6B4232EAED4E}" name="view_total_titles" displayName="view_total_titles" ref="A1:A2" tableType="queryTable" totalsRowShown="0">
  <autoFilter ref="A1:A2" xr:uid="{2A0FE2DD-0BE0-4801-BF96-6B4232EAED4E}"/>
  <tableColumns count="1">
    <tableColumn id="1" xr3:uid="{0179227B-650C-4043-A937-1E4BCB048218}" uniqueName="1" name="count" queryTableField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830D5-7AC7-4C5A-9A5F-E6653D99CE4B}">
  <dimension ref="X1:Z10"/>
  <sheetViews>
    <sheetView showGridLines="0" tabSelected="1" zoomScale="54" zoomScaleNormal="40" workbookViewId="0">
      <selection activeCell="AC11" sqref="AC11"/>
    </sheetView>
  </sheetViews>
  <sheetFormatPr defaultRowHeight="14.5" x14ac:dyDescent="0.35"/>
  <sheetData>
    <row r="1" spans="24:26" x14ac:dyDescent="0.35">
      <c r="Z1" s="3" t="str">
        <f>"Total Titles: " &amp; view_total_titles!A2</f>
        <v>Total Titles: 8807</v>
      </c>
    </row>
    <row r="2" spans="24:26" x14ac:dyDescent="0.35">
      <c r="X2" s="3" t="str">
        <f>"Total Titles: " &amp; view_total_titles!A2</f>
        <v>Total Titles: 8807</v>
      </c>
    </row>
    <row r="8" spans="24:26" x14ac:dyDescent="0.35">
      <c r="X8" s="3" t="str">
        <f>"Total Titles: " &amp; view_total_titles!A2</f>
        <v>Total Titles: 8807</v>
      </c>
    </row>
    <row r="10" spans="24:26" x14ac:dyDescent="0.35">
      <c r="X10" s="3" t="str">
        <f>"Total Titles: " &amp; view_total_titles!A2</f>
        <v>Total Titles: 8807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66E3B-5C5C-4933-AEAC-D22C379288EB}">
  <dimension ref="A1:A2"/>
  <sheetViews>
    <sheetView workbookViewId="0">
      <selection activeCell="A2" sqref="A2"/>
    </sheetView>
  </sheetViews>
  <sheetFormatPr defaultRowHeight="14.5" x14ac:dyDescent="0.35"/>
  <cols>
    <col min="1" max="1" width="7.90625" bestFit="1" customWidth="1"/>
  </cols>
  <sheetData>
    <row r="1" spans="1:1" x14ac:dyDescent="0.35">
      <c r="A1" t="s">
        <v>41</v>
      </c>
    </row>
    <row r="2" spans="1:1" x14ac:dyDescent="0.35">
      <c r="A2">
        <v>8807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49663-7E76-4D08-86B0-88EA57793BCC}">
  <dimension ref="A3:B18"/>
  <sheetViews>
    <sheetView workbookViewId="0">
      <selection activeCell="A3" sqref="A3:B18"/>
    </sheetView>
  </sheetViews>
  <sheetFormatPr defaultRowHeight="14.5" x14ac:dyDescent="0.35"/>
  <cols>
    <col min="1" max="1" width="12.453125" bestFit="1" customWidth="1"/>
    <col min="2" max="2" width="11.81640625" bestFit="1" customWidth="1"/>
  </cols>
  <sheetData>
    <row r="3" spans="1:2" x14ac:dyDescent="0.35">
      <c r="A3" s="1" t="s">
        <v>37</v>
      </c>
      <c r="B3" t="s">
        <v>36</v>
      </c>
    </row>
    <row r="4" spans="1:2" x14ac:dyDescent="0.35">
      <c r="A4" s="2" t="s">
        <v>30</v>
      </c>
      <c r="B4">
        <v>41</v>
      </c>
    </row>
    <row r="5" spans="1:2" x14ac:dyDescent="0.35">
      <c r="A5" s="2" t="s">
        <v>32</v>
      </c>
      <c r="B5">
        <v>3</v>
      </c>
    </row>
    <row r="6" spans="1:2" x14ac:dyDescent="0.35">
      <c r="A6" s="2" t="s">
        <v>29</v>
      </c>
      <c r="B6">
        <v>80</v>
      </c>
    </row>
    <row r="7" spans="1:2" x14ac:dyDescent="0.35">
      <c r="A7" s="2" t="s">
        <v>27</v>
      </c>
      <c r="B7">
        <v>287</v>
      </c>
    </row>
    <row r="8" spans="1:2" x14ac:dyDescent="0.35">
      <c r="A8" s="2" t="s">
        <v>24</v>
      </c>
      <c r="B8">
        <v>490</v>
      </c>
    </row>
    <row r="9" spans="1:2" x14ac:dyDescent="0.35">
      <c r="A9" s="2" t="s">
        <v>23</v>
      </c>
      <c r="B9">
        <v>799</v>
      </c>
    </row>
    <row r="10" spans="1:2" x14ac:dyDescent="0.35">
      <c r="A10" s="2" t="s">
        <v>21</v>
      </c>
      <c r="B10">
        <v>2160</v>
      </c>
    </row>
    <row r="11" spans="1:2" x14ac:dyDescent="0.35">
      <c r="A11" s="2" t="s">
        <v>28</v>
      </c>
      <c r="B11">
        <v>220</v>
      </c>
    </row>
    <row r="12" spans="1:2" x14ac:dyDescent="0.35">
      <c r="A12" s="2" t="s">
        <v>20</v>
      </c>
      <c r="B12">
        <v>3207</v>
      </c>
    </row>
    <row r="13" spans="1:2" x14ac:dyDescent="0.35">
      <c r="A13" s="2" t="s">
        <v>22</v>
      </c>
      <c r="B13">
        <v>863</v>
      </c>
    </row>
    <row r="14" spans="1:2" x14ac:dyDescent="0.35">
      <c r="A14" s="2" t="s">
        <v>26</v>
      </c>
      <c r="B14">
        <v>307</v>
      </c>
    </row>
    <row r="15" spans="1:2" x14ac:dyDescent="0.35">
      <c r="A15" s="2" t="s">
        <v>25</v>
      </c>
      <c r="B15">
        <v>334</v>
      </c>
    </row>
    <row r="16" spans="1:2" x14ac:dyDescent="0.35">
      <c r="A16" s="2" t="s">
        <v>31</v>
      </c>
      <c r="B16">
        <v>6</v>
      </c>
    </row>
    <row r="17" spans="1:2" x14ac:dyDescent="0.35">
      <c r="A17" s="2" t="s">
        <v>33</v>
      </c>
      <c r="B17">
        <v>3</v>
      </c>
    </row>
    <row r="18" spans="1:2" x14ac:dyDescent="0.35">
      <c r="A18" s="2" t="s">
        <v>38</v>
      </c>
      <c r="B18">
        <v>8800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75F3E-DF96-4B2C-98A3-5DFA39D3490E}">
  <dimension ref="A3:I14"/>
  <sheetViews>
    <sheetView workbookViewId="0">
      <selection activeCell="I4" sqref="I4"/>
    </sheetView>
  </sheetViews>
  <sheetFormatPr defaultRowHeight="14.5" x14ac:dyDescent="0.35"/>
  <cols>
    <col min="1" max="1" width="13.54296875" bestFit="1" customWidth="1"/>
    <col min="2" max="2" width="11.81640625" bestFit="1" customWidth="1"/>
  </cols>
  <sheetData>
    <row r="3" spans="1:9" x14ac:dyDescent="0.35">
      <c r="A3" s="1" t="s">
        <v>37</v>
      </c>
      <c r="B3" t="s">
        <v>36</v>
      </c>
    </row>
    <row r="4" spans="1:9" x14ac:dyDescent="0.35">
      <c r="A4" s="2" t="s">
        <v>5</v>
      </c>
      <c r="B4">
        <v>181</v>
      </c>
      <c r="G4" s="4"/>
      <c r="I4" t="str">
        <f>"Top Country: " &amp; most_country!A13 &amp; CHAR(10) &amp;
"Titles: " &amp; TEXT(most_country!B13,"#,##0")</f>
        <v>Top Country: United States
Titles: 2,818</v>
      </c>
    </row>
    <row r="5" spans="1:9" x14ac:dyDescent="0.35">
      <c r="A5" s="2" t="s">
        <v>9</v>
      </c>
      <c r="B5">
        <v>106</v>
      </c>
    </row>
    <row r="6" spans="1:9" x14ac:dyDescent="0.35">
      <c r="A6" s="2" t="s">
        <v>7</v>
      </c>
      <c r="B6">
        <v>124</v>
      </c>
    </row>
    <row r="7" spans="1:9" x14ac:dyDescent="0.35">
      <c r="A7" s="2" t="s">
        <v>1</v>
      </c>
      <c r="B7">
        <v>972</v>
      </c>
    </row>
    <row r="8" spans="1:9" x14ac:dyDescent="0.35">
      <c r="A8" s="2" t="s">
        <v>3</v>
      </c>
      <c r="B8">
        <v>245</v>
      </c>
    </row>
    <row r="9" spans="1:9" x14ac:dyDescent="0.35">
      <c r="A9" s="2" t="s">
        <v>8</v>
      </c>
      <c r="B9">
        <v>110</v>
      </c>
    </row>
    <row r="10" spans="1:9" x14ac:dyDescent="0.35">
      <c r="A10" s="2" t="s">
        <v>4</v>
      </c>
      <c r="B10">
        <v>199</v>
      </c>
    </row>
    <row r="11" spans="1:9" x14ac:dyDescent="0.35">
      <c r="A11" s="2" t="s">
        <v>6</v>
      </c>
      <c r="B11">
        <v>145</v>
      </c>
    </row>
    <row r="12" spans="1:9" x14ac:dyDescent="0.35">
      <c r="A12" s="2" t="s">
        <v>2</v>
      </c>
      <c r="B12">
        <v>419</v>
      </c>
    </row>
    <row r="13" spans="1:9" x14ac:dyDescent="0.35">
      <c r="A13" s="2" t="s">
        <v>0</v>
      </c>
      <c r="B13">
        <v>2818</v>
      </c>
    </row>
    <row r="14" spans="1:9" x14ac:dyDescent="0.35">
      <c r="A14" s="2" t="s">
        <v>38</v>
      </c>
      <c r="B14">
        <v>5319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5127C-CC4B-4704-AC9A-F776F62E135E}">
  <dimension ref="A3:H19"/>
  <sheetViews>
    <sheetView workbookViewId="0">
      <selection activeCell="AN45" sqref="AN45"/>
    </sheetView>
  </sheetViews>
  <sheetFormatPr defaultRowHeight="14.5" x14ac:dyDescent="0.35"/>
  <cols>
    <col min="1" max="1" width="12.453125" bestFit="1" customWidth="1"/>
    <col min="2" max="2" width="15.6328125" bestFit="1" customWidth="1"/>
    <col min="3" max="3" width="7.7265625" bestFit="1" customWidth="1"/>
    <col min="4" max="4" width="10.36328125" bestFit="1" customWidth="1"/>
  </cols>
  <sheetData>
    <row r="3" spans="1:8" x14ac:dyDescent="0.35">
      <c r="A3" s="1" t="s">
        <v>36</v>
      </c>
      <c r="B3" s="1" t="s">
        <v>39</v>
      </c>
    </row>
    <row r="4" spans="1:8" x14ac:dyDescent="0.35">
      <c r="A4" s="1" t="s">
        <v>37</v>
      </c>
      <c r="B4" t="s">
        <v>34</v>
      </c>
      <c r="C4" t="s">
        <v>35</v>
      </c>
      <c r="D4" t="s">
        <v>38</v>
      </c>
    </row>
    <row r="5" spans="1:8" x14ac:dyDescent="0.35">
      <c r="A5" s="2">
        <v>2008</v>
      </c>
      <c r="B5" s="6">
        <v>1</v>
      </c>
      <c r="C5" s="6">
        <v>1</v>
      </c>
      <c r="D5" s="6">
        <v>2</v>
      </c>
      <c r="H5" t="str">
        <f>"Top Year: " &amp; A15 &amp; CHAR(10) &amp; "Titles Added: " &amp; TEXT(D15,"#,##0")</f>
        <v>Top Year: 2018
Titles Added: 1,649</v>
      </c>
    </row>
    <row r="6" spans="1:8" x14ac:dyDescent="0.35">
      <c r="A6" s="2">
        <v>2009</v>
      </c>
      <c r="B6" s="6">
        <v>2</v>
      </c>
      <c r="C6" s="6"/>
      <c r="D6" s="6">
        <v>2</v>
      </c>
    </row>
    <row r="7" spans="1:8" x14ac:dyDescent="0.35">
      <c r="A7" s="2">
        <v>2010</v>
      </c>
      <c r="B7" s="6">
        <v>1</v>
      </c>
      <c r="C7" s="6"/>
      <c r="D7" s="6">
        <v>1</v>
      </c>
    </row>
    <row r="8" spans="1:8" x14ac:dyDescent="0.35">
      <c r="A8" s="2">
        <v>2011</v>
      </c>
      <c r="B8" s="6">
        <v>13</v>
      </c>
      <c r="C8" s="6"/>
      <c r="D8" s="6">
        <v>13</v>
      </c>
    </row>
    <row r="9" spans="1:8" x14ac:dyDescent="0.35">
      <c r="A9" s="2">
        <v>2012</v>
      </c>
      <c r="B9" s="6">
        <v>3</v>
      </c>
      <c r="C9" s="6"/>
      <c r="D9" s="6">
        <v>3</v>
      </c>
    </row>
    <row r="10" spans="1:8" x14ac:dyDescent="0.35">
      <c r="A10" s="2">
        <v>2013</v>
      </c>
      <c r="B10" s="6">
        <v>6</v>
      </c>
      <c r="C10" s="6">
        <v>5</v>
      </c>
      <c r="D10" s="6">
        <v>11</v>
      </c>
    </row>
    <row r="11" spans="1:8" x14ac:dyDescent="0.35">
      <c r="A11" s="2">
        <v>2014</v>
      </c>
      <c r="B11" s="6">
        <v>19</v>
      </c>
      <c r="C11" s="6">
        <v>5</v>
      </c>
      <c r="D11" s="6">
        <v>24</v>
      </c>
    </row>
    <row r="12" spans="1:8" x14ac:dyDescent="0.35">
      <c r="A12" s="2">
        <v>2015</v>
      </c>
      <c r="B12" s="6">
        <v>56</v>
      </c>
      <c r="C12" s="6">
        <v>26</v>
      </c>
      <c r="D12" s="6">
        <v>82</v>
      </c>
    </row>
    <row r="13" spans="1:8" x14ac:dyDescent="0.35">
      <c r="A13" s="2">
        <v>2016</v>
      </c>
      <c r="B13" s="6">
        <v>253</v>
      </c>
      <c r="C13" s="6">
        <v>176</v>
      </c>
      <c r="D13" s="6">
        <v>429</v>
      </c>
    </row>
    <row r="14" spans="1:8" x14ac:dyDescent="0.35">
      <c r="A14" s="2">
        <v>2017</v>
      </c>
      <c r="B14" s="6">
        <v>839</v>
      </c>
      <c r="C14" s="6">
        <v>349</v>
      </c>
      <c r="D14" s="6">
        <v>1188</v>
      </c>
    </row>
    <row r="15" spans="1:8" x14ac:dyDescent="0.35">
      <c r="A15" s="2">
        <v>2018</v>
      </c>
      <c r="B15" s="6">
        <v>1237</v>
      </c>
      <c r="C15" s="6">
        <v>412</v>
      </c>
      <c r="D15" s="6">
        <v>1649</v>
      </c>
    </row>
    <row r="16" spans="1:8" x14ac:dyDescent="0.35">
      <c r="A16" s="2">
        <v>2019</v>
      </c>
      <c r="B16" s="6">
        <v>1424</v>
      </c>
      <c r="C16" s="6">
        <v>592</v>
      </c>
      <c r="D16" s="6">
        <v>2016</v>
      </c>
    </row>
    <row r="17" spans="1:4" x14ac:dyDescent="0.35">
      <c r="A17" s="2">
        <v>2020</v>
      </c>
      <c r="B17" s="6">
        <v>1284</v>
      </c>
      <c r="C17" s="6">
        <v>595</v>
      </c>
      <c r="D17" s="6">
        <v>1879</v>
      </c>
    </row>
    <row r="18" spans="1:4" x14ac:dyDescent="0.35">
      <c r="A18" s="2">
        <v>2021</v>
      </c>
      <c r="B18" s="6">
        <v>993</v>
      </c>
      <c r="C18" s="6">
        <v>505</v>
      </c>
      <c r="D18" s="6">
        <v>1498</v>
      </c>
    </row>
    <row r="19" spans="1:4" x14ac:dyDescent="0.35">
      <c r="A19" s="2" t="s">
        <v>38</v>
      </c>
      <c r="B19" s="6">
        <v>6131</v>
      </c>
      <c r="C19" s="6">
        <v>2666</v>
      </c>
      <c r="D19" s="6">
        <v>8797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A0875-D8B3-4F9F-80C5-A036F6F22E8E}">
  <dimension ref="A3:J6"/>
  <sheetViews>
    <sheetView topLeftCell="B1" workbookViewId="0">
      <selection activeCell="J3" sqref="J3"/>
    </sheetView>
  </sheetViews>
  <sheetFormatPr defaultRowHeight="14.5" x14ac:dyDescent="0.35"/>
  <cols>
    <col min="1" max="1" width="12.453125" bestFit="1" customWidth="1"/>
    <col min="2" max="2" width="15.36328125" bestFit="1" customWidth="1"/>
    <col min="10" max="10" width="35.26953125" bestFit="1" customWidth="1"/>
  </cols>
  <sheetData>
    <row r="3" spans="1:10" x14ac:dyDescent="0.35">
      <c r="A3" s="1" t="s">
        <v>37</v>
      </c>
      <c r="B3" t="s">
        <v>40</v>
      </c>
      <c r="J3" s="5" t="str">
        <f>"Movies: " &amp; TEXT(H4, "0%") &amp; CHAR(10) &amp; "TV Shows: " &amp; TEXT(H5, "0%")</f>
        <v>Movies: 70%
TV Shows: 30%</v>
      </c>
    </row>
    <row r="4" spans="1:10" x14ac:dyDescent="0.35">
      <c r="A4" s="2" t="s">
        <v>34</v>
      </c>
      <c r="B4">
        <v>6131</v>
      </c>
      <c r="H4" s="4">
        <f>B4/B6</f>
        <v>0.69615078914499828</v>
      </c>
    </row>
    <row r="5" spans="1:10" x14ac:dyDescent="0.35">
      <c r="A5" s="2" t="s">
        <v>35</v>
      </c>
      <c r="B5">
        <v>2676</v>
      </c>
      <c r="H5" s="4">
        <f>B5/B6</f>
        <v>0.30384921085500172</v>
      </c>
    </row>
    <row r="6" spans="1:10" x14ac:dyDescent="0.35">
      <c r="A6" s="2" t="s">
        <v>38</v>
      </c>
      <c r="B6">
        <v>8807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7C41-E830-4747-9B90-B6F67DD558CD}">
  <dimension ref="A3:B14"/>
  <sheetViews>
    <sheetView workbookViewId="0">
      <selection activeCell="A3" sqref="A3:B14"/>
    </sheetView>
  </sheetViews>
  <sheetFormatPr defaultRowHeight="14.5" x14ac:dyDescent="0.35"/>
  <cols>
    <col min="1" max="1" width="42.08984375" bestFit="1" customWidth="1"/>
    <col min="2" max="2" width="11.81640625" bestFit="1" customWidth="1"/>
  </cols>
  <sheetData>
    <row r="3" spans="1:2" x14ac:dyDescent="0.35">
      <c r="A3" s="1" t="s">
        <v>37</v>
      </c>
      <c r="B3" t="s">
        <v>36</v>
      </c>
    </row>
    <row r="4" spans="1:2" x14ac:dyDescent="0.35">
      <c r="A4" s="2" t="s">
        <v>16</v>
      </c>
      <c r="B4">
        <v>215</v>
      </c>
    </row>
    <row r="5" spans="1:2" x14ac:dyDescent="0.35">
      <c r="A5" s="2" t="s">
        <v>17</v>
      </c>
      <c r="B5">
        <v>201</v>
      </c>
    </row>
    <row r="6" spans="1:2" x14ac:dyDescent="0.35">
      <c r="A6" s="2" t="s">
        <v>13</v>
      </c>
      <c r="B6">
        <v>274</v>
      </c>
    </row>
    <row r="7" spans="1:2" x14ac:dyDescent="0.35">
      <c r="A7" s="2" t="s">
        <v>11</v>
      </c>
      <c r="B7">
        <v>359</v>
      </c>
    </row>
    <row r="8" spans="1:2" x14ac:dyDescent="0.35">
      <c r="A8" s="2" t="s">
        <v>18</v>
      </c>
      <c r="B8">
        <v>186</v>
      </c>
    </row>
    <row r="9" spans="1:2" x14ac:dyDescent="0.35">
      <c r="A9" s="2" t="s">
        <v>14</v>
      </c>
      <c r="B9">
        <v>252</v>
      </c>
    </row>
    <row r="10" spans="1:2" x14ac:dyDescent="0.35">
      <c r="A10" s="2" t="s">
        <v>10</v>
      </c>
      <c r="B10">
        <v>362</v>
      </c>
    </row>
    <row r="11" spans="1:2" x14ac:dyDescent="0.35">
      <c r="A11" s="2" t="s">
        <v>19</v>
      </c>
      <c r="B11">
        <v>180</v>
      </c>
    </row>
    <row r="12" spans="1:2" x14ac:dyDescent="0.35">
      <c r="A12" s="2" t="s">
        <v>15</v>
      </c>
      <c r="B12">
        <v>220</v>
      </c>
    </row>
    <row r="13" spans="1:2" x14ac:dyDescent="0.35">
      <c r="A13" s="2" t="s">
        <v>12</v>
      </c>
      <c r="B13">
        <v>334</v>
      </c>
    </row>
    <row r="14" spans="1:2" x14ac:dyDescent="0.35">
      <c r="A14" s="2" t="s">
        <v>38</v>
      </c>
      <c r="B14">
        <v>2583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D2B92D-9470-4276-AFBB-EE625627C7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view_total_titles</vt:lpstr>
      <vt:lpstr>rating</vt:lpstr>
      <vt:lpstr>most_country</vt:lpstr>
      <vt:lpstr>added year</vt:lpstr>
      <vt:lpstr>movies vs tvs</vt:lpstr>
      <vt:lpstr>geners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מיה ניימרק</dc:creator>
  <cp:lastModifiedBy>מיה ניימרק</cp:lastModifiedBy>
  <dcterms:created xsi:type="dcterms:W3CDTF">2025-11-06T11:04:53Z</dcterms:created>
  <dcterms:modified xsi:type="dcterms:W3CDTF">2025-11-13T13:29:43Z</dcterms:modified>
</cp:coreProperties>
</file>